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ramirezs\Downloads\"/>
    </mc:Choice>
  </mc:AlternateContent>
  <xr:revisionPtr revIDLastSave="0" documentId="13_ncr:1_{9F40475E-92E2-448B-AF86-38352F6C46B1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D9" i="1"/>
  <c r="E8" i="1"/>
  <c r="E3" i="1"/>
</calcChain>
</file>

<file path=xl/sharedStrings.xml><?xml version="1.0" encoding="utf-8"?>
<sst xmlns="http://schemas.openxmlformats.org/spreadsheetml/2006/main" count="55" uniqueCount="38">
  <si>
    <t>Item</t>
  </si>
  <si>
    <t>Descripcion</t>
  </si>
  <si>
    <t>Red de Internet Satelital – Starlink</t>
  </si>
  <si>
    <t>Detalle</t>
  </si>
  <si>
    <t>antena, router Wi-Fi 5, base, cables (cubre hasta 185 m², opción mesh disponible)</t>
  </si>
  <si>
    <t>Valor USD</t>
  </si>
  <si>
    <t>Valor RD$</t>
  </si>
  <si>
    <t>Internet</t>
  </si>
  <si>
    <t>Cotizacion formal</t>
  </si>
  <si>
    <t>En espera</t>
  </si>
  <si>
    <t>Báscula de Banda Transportadora</t>
  </si>
  <si>
    <t>Modelo referencial: Siemens MSI (2-idler, heavy-duty) / Thermo Ramsey Series 2
Incluye:
Marco de pesaje 2-idler con celdas de carga de acero inoxidable.
Sensor de velocidad acoplado a tambor.
Integrador digital con totalizador y salidas 4–20 mA + Modbus/RTU.
Juego de masas patrón para calibración.
Caja de conexiones y manuales.</t>
  </si>
  <si>
    <t>Báscula de Impacto (en chute)</t>
  </si>
  <si>
    <t>Incluye:
Módulo de impacto con celda de carga heavy-duty.
Integrador digital con totalizador.
Ducto adaptador y kit de montaje</t>
  </si>
  <si>
    <t>Gabinete Integrador con Protocolo Modbus</t>
  </si>
  <si>
    <t>Incluye:
Gabinete metálico NEMA 4/4X para exteriores.
PLC compacto con entradas analógicas y digitales, comunicación Modbus/RTU y Modbus/TCP.
Fuente de poder, breakers y borneras.
Panel frontal con HMI táctil 7″ para supervisión local.
Preparado para transmisión de datos vía red Starlink (Ethernet).</t>
  </si>
  <si>
    <t>Incluye:
Cámara IP industrial.
Fuente PoE o inyector.
Software de visualización remoto (compatible con red Starlink).</t>
  </si>
  <si>
    <t>Informacion de calidad</t>
  </si>
  <si>
    <t>Reportes Automaticos de calidad</t>
  </si>
  <si>
    <t>Reporteria</t>
  </si>
  <si>
    <t>Reporte produccion</t>
  </si>
  <si>
    <t>Reporte alimentacion</t>
  </si>
  <si>
    <t>Despacho</t>
  </si>
  <si>
    <t>Identificacion de vehicular</t>
  </si>
  <si>
    <t>Automatizacion de la planta</t>
  </si>
  <si>
    <t>Digitalizacion</t>
  </si>
  <si>
    <t>Medicion en Linea de distribucion de productos</t>
  </si>
  <si>
    <t>Medicion de granulometria instantanea</t>
  </si>
  <si>
    <t>Disponibilidad mecanica</t>
  </si>
  <si>
    <t>Reportes de mantenimiento</t>
  </si>
  <si>
    <t>Telemetria de maquinaria</t>
  </si>
  <si>
    <t>Modelo de medicion de granulometria con vision artificial</t>
  </si>
  <si>
    <t>Sistema de vision artificial para la estimacion en linea de la granulometria, analisis de datos en la nube, y suscripcion de un año</t>
  </si>
  <si>
    <t>Servicio de Geolocalizacion Satelital de Vehiculos</t>
  </si>
  <si>
    <t>Dispositivo de hardware para instalar en vehiculo, y suscripcion mensual para reporte de datos a plataforma web (Nube) Anualidad</t>
  </si>
  <si>
    <t>Reconocimiento de vehiculos en sitio con RFID</t>
  </si>
  <si>
    <t>Sistema de reconocimineto de vehiculos con RFID y  TAGs por vehiculos</t>
  </si>
  <si>
    <t>3 Cámars IP de Monitoreo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</si>
</sst>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1" xfId="1" applyNumberFormat="1" applyFont="1" applyBorder="1"/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165" fontId="0" fillId="2" borderId="1" xfId="1" applyNumberFormat="1" applyFont="1" applyFill="1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topLeftCell="A4" zoomScale="80" zoomScaleNormal="80" workbookViewId="0">
      <selection activeCell="S10" sqref="S10"/>
    </sheetView>
  </sheetViews>
  <sheetFormatPr baseColWidth="10" defaultColWidth="8.77734375" defaultRowHeight="14.4" x14ac:dyDescent="0.3"/>
  <cols>
    <col min="1" max="1" width="5.44140625" bestFit="1" customWidth="1"/>
    <col min="2" max="2" width="41.77734375" bestFit="1" customWidth="1"/>
    <col min="3" max="3" width="79.21875" bestFit="1" customWidth="1"/>
    <col min="4" max="4" width="10.33203125" bestFit="1" customWidth="1"/>
    <col min="5" max="5" width="13.44140625" bestFit="1" customWidth="1"/>
    <col min="6" max="7" width="10.33203125" bestFit="1" customWidth="1"/>
  </cols>
  <sheetData>
    <row r="1" spans="1:7" x14ac:dyDescent="0.3">
      <c r="D1" s="7" t="s">
        <v>7</v>
      </c>
      <c r="E1" s="7"/>
      <c r="F1" s="8" t="s">
        <v>8</v>
      </c>
      <c r="G1" s="8"/>
    </row>
    <row r="2" spans="1:7" x14ac:dyDescent="0.3">
      <c r="A2" s="5" t="s">
        <v>0</v>
      </c>
      <c r="B2" s="5" t="s">
        <v>1</v>
      </c>
      <c r="C2" s="5" t="s">
        <v>3</v>
      </c>
      <c r="D2" s="5" t="s">
        <v>5</v>
      </c>
      <c r="E2" s="5" t="s">
        <v>6</v>
      </c>
      <c r="F2" s="5" t="s">
        <v>5</v>
      </c>
      <c r="G2" s="5" t="s">
        <v>6</v>
      </c>
    </row>
    <row r="3" spans="1:7" x14ac:dyDescent="0.3">
      <c r="A3" s="10">
        <v>1</v>
      </c>
      <c r="B3" s="2" t="s">
        <v>2</v>
      </c>
      <c r="C3" s="2" t="s">
        <v>4</v>
      </c>
      <c r="D3" s="3">
        <v>600</v>
      </c>
      <c r="E3" s="3">
        <f>+D3*(E4/D4)</f>
        <v>35423.076923076922</v>
      </c>
      <c r="F3" s="2" t="s">
        <v>9</v>
      </c>
      <c r="G3" s="2" t="s">
        <v>9</v>
      </c>
    </row>
    <row r="4" spans="1:7" ht="100.8" x14ac:dyDescent="0.3">
      <c r="A4" s="10">
        <v>2</v>
      </c>
      <c r="B4" s="2" t="s">
        <v>10</v>
      </c>
      <c r="C4" s="4" t="s">
        <v>11</v>
      </c>
      <c r="D4" s="3">
        <v>26000</v>
      </c>
      <c r="E4" s="9">
        <v>1535000</v>
      </c>
      <c r="F4" s="2" t="s">
        <v>9</v>
      </c>
      <c r="G4" s="2" t="s">
        <v>9</v>
      </c>
    </row>
    <row r="5" spans="1:7" ht="57.6" x14ac:dyDescent="0.3">
      <c r="A5" s="10">
        <v>3</v>
      </c>
      <c r="B5" s="2" t="s">
        <v>12</v>
      </c>
      <c r="C5" s="4" t="s">
        <v>13</v>
      </c>
      <c r="D5" s="3">
        <v>14500</v>
      </c>
      <c r="E5" s="9">
        <v>857000</v>
      </c>
      <c r="F5" s="2" t="s">
        <v>9</v>
      </c>
      <c r="G5" s="2" t="s">
        <v>9</v>
      </c>
    </row>
    <row r="6" spans="1:7" ht="86.4" x14ac:dyDescent="0.3">
      <c r="A6" s="10">
        <v>4</v>
      </c>
      <c r="B6" s="2" t="s">
        <v>14</v>
      </c>
      <c r="C6" s="4" t="s">
        <v>15</v>
      </c>
      <c r="D6" s="3">
        <v>6500</v>
      </c>
      <c r="E6" s="9">
        <v>383000</v>
      </c>
      <c r="F6" s="2" t="s">
        <v>9</v>
      </c>
      <c r="G6" s="2" t="s">
        <v>9</v>
      </c>
    </row>
    <row r="7" spans="1:7" ht="57.6" x14ac:dyDescent="0.3">
      <c r="A7" s="10">
        <v>5</v>
      </c>
      <c r="B7" s="2" t="s">
        <v>37</v>
      </c>
      <c r="C7" s="4" t="s">
        <v>16</v>
      </c>
      <c r="D7" s="3">
        <v>3000</v>
      </c>
      <c r="E7" s="9">
        <v>176769.23076923075</v>
      </c>
      <c r="F7" s="2" t="s">
        <v>9</v>
      </c>
      <c r="G7" s="2" t="s">
        <v>9</v>
      </c>
    </row>
    <row r="8" spans="1:7" ht="28.8" x14ac:dyDescent="0.3">
      <c r="A8" s="10">
        <v>6</v>
      </c>
      <c r="B8" s="11" t="s">
        <v>31</v>
      </c>
      <c r="C8" s="11" t="s">
        <v>32</v>
      </c>
      <c r="D8" s="12">
        <v>13000</v>
      </c>
      <c r="E8" s="13">
        <f>D8*65</f>
        <v>845000</v>
      </c>
      <c r="F8" s="14" t="s">
        <v>9</v>
      </c>
      <c r="G8" s="14" t="s">
        <v>9</v>
      </c>
    </row>
    <row r="9" spans="1:7" ht="28.8" x14ac:dyDescent="0.3">
      <c r="A9" s="10">
        <v>7</v>
      </c>
      <c r="B9" s="11" t="s">
        <v>33</v>
      </c>
      <c r="C9" s="11" t="s">
        <v>34</v>
      </c>
      <c r="D9" s="14">
        <f>45+(12*12)</f>
        <v>189</v>
      </c>
      <c r="E9" s="13">
        <f>D9*65</f>
        <v>12285</v>
      </c>
      <c r="F9" s="14" t="s">
        <v>9</v>
      </c>
      <c r="G9" s="14" t="s">
        <v>9</v>
      </c>
    </row>
    <row r="10" spans="1:7" ht="40.200000000000003" customHeight="1" x14ac:dyDescent="0.3">
      <c r="A10" s="10">
        <v>8</v>
      </c>
      <c r="B10" s="11" t="s">
        <v>35</v>
      </c>
      <c r="C10" s="15" t="s">
        <v>36</v>
      </c>
      <c r="D10" s="14">
        <v>2500</v>
      </c>
      <c r="E10" s="14">
        <f>D10*65</f>
        <v>162500</v>
      </c>
      <c r="F10" s="14" t="s">
        <v>9</v>
      </c>
      <c r="G10" s="14" t="s">
        <v>9</v>
      </c>
    </row>
    <row r="12" spans="1:7" x14ac:dyDescent="0.3">
      <c r="C12" s="6"/>
      <c r="D12" s="1"/>
      <c r="E12" s="1"/>
    </row>
    <row r="13" spans="1:7" x14ac:dyDescent="0.3">
      <c r="C13" s="6"/>
      <c r="D13" s="1"/>
      <c r="E13" s="1"/>
    </row>
    <row r="16" spans="1:7" x14ac:dyDescent="0.3">
      <c r="B16" t="s">
        <v>17</v>
      </c>
      <c r="C16" t="s">
        <v>18</v>
      </c>
    </row>
    <row r="17" spans="2:3" x14ac:dyDescent="0.3">
      <c r="B17" t="s">
        <v>19</v>
      </c>
      <c r="C17" t="s">
        <v>20</v>
      </c>
    </row>
    <row r="18" spans="2:3" x14ac:dyDescent="0.3">
      <c r="C18" t="s">
        <v>21</v>
      </c>
    </row>
    <row r="19" spans="2:3" x14ac:dyDescent="0.3">
      <c r="B19" t="s">
        <v>22</v>
      </c>
      <c r="C19" t="s">
        <v>23</v>
      </c>
    </row>
    <row r="20" spans="2:3" x14ac:dyDescent="0.3">
      <c r="B20" t="s">
        <v>24</v>
      </c>
      <c r="C20" t="s">
        <v>25</v>
      </c>
    </row>
    <row r="21" spans="2:3" x14ac:dyDescent="0.3">
      <c r="B21" t="s">
        <v>26</v>
      </c>
    </row>
    <row r="22" spans="2:3" x14ac:dyDescent="0.3">
      <c r="B22" t="s">
        <v>27</v>
      </c>
    </row>
    <row r="23" spans="2:3" x14ac:dyDescent="0.3">
      <c r="B23" t="s">
        <v>28</v>
      </c>
      <c r="C23" t="s">
        <v>29</v>
      </c>
    </row>
    <row r="24" spans="2:3" x14ac:dyDescent="0.3">
      <c r="C24" t="s">
        <v>30</v>
      </c>
    </row>
  </sheetData>
  <mergeCells count="2">
    <mergeCell ref="D1:E1"/>
    <mergeCell ref="F1:G1"/>
  </mergeCells>
  <phoneticPr fontId="1" type="noConversion"/>
  <pageMargins left="0.7" right="0.7" top="0.75" bottom="0.75" header="0.3" footer="0.3"/>
  <customProperties>
    <customPr name="EpmWorksheetKeyString_GUID" r:id="rId1"/>
  </customProperties>
</worksheet>
</file>

<file path=docMetadata/LabelInfo.xml><?xml version="1.0" encoding="utf-8"?>
<clbl:labelList xmlns:clbl="http://schemas.microsoft.com/office/2020/mipLabelMetadata">
  <clbl:label id="{1928502c-fb87-4df2-b484-8111cd6f910b}" enabled="1" method="Standard" siteId="{faa44fd9-dabe-4064-a6bb-59608ea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William Buritica Agudelo</dc:creator>
  <cp:lastModifiedBy>Juan Fernando Ramirez Salazar</cp:lastModifiedBy>
  <dcterms:created xsi:type="dcterms:W3CDTF">2015-06-05T18:17:20Z</dcterms:created>
  <dcterms:modified xsi:type="dcterms:W3CDTF">2025-09-10T21:42:23Z</dcterms:modified>
</cp:coreProperties>
</file>